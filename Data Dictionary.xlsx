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5"/>
    <sheet state="visible" name="ETL" sheetId="2" r:id="rId6"/>
    <sheet state="visible" name="Sheet4" sheetId="3" r:id="rId7"/>
  </sheets>
  <definedNames/>
  <calcPr/>
</workbook>
</file>

<file path=xl/sharedStrings.xml><?xml version="1.0" encoding="utf-8"?>
<sst xmlns="http://schemas.openxmlformats.org/spreadsheetml/2006/main" count="196" uniqueCount="146">
  <si>
    <t>Order</t>
  </si>
  <si>
    <t>Order items</t>
  </si>
  <si>
    <t>User</t>
  </si>
  <si>
    <t>Column Name</t>
  </si>
  <si>
    <t>Business Meaning / Usage</t>
  </si>
  <si>
    <t>order_id</t>
  </si>
  <si>
    <t>Mã định danh duy nhất của mỗi đơn hàng, dùng để phân biệt từng order</t>
  </si>
  <si>
    <t>id</t>
  </si>
  <si>
    <t>Mã định danh duy nhất của từng dòng sản phẩm trong đơn hàng</t>
  </si>
  <si>
    <t>Mã định danh duy nhất của mỗi khách hàng (Primary Key)</t>
  </si>
  <si>
    <t>user_id</t>
  </si>
  <si>
    <t>Mã khách hàng đã tạo đơn hàng, dùng để liên kết với bảng người dùng</t>
  </si>
  <si>
    <t>Mã đơn hàng liên kết, dùng để nối với bảng orders</t>
  </si>
  <si>
    <t>first_name</t>
  </si>
  <si>
    <t>Tên của khách hàng</t>
  </si>
  <si>
    <t>status</t>
  </si>
  <si>
    <t>Trạng thái hiện tại của đơn hàng, dùng để theo dõi vòng đời đơn</t>
  </si>
  <si>
    <t>Mã khách hàng đặt sản phẩm đó</t>
  </si>
  <si>
    <t>last_name</t>
  </si>
  <si>
    <t>Họ của khách hàng</t>
  </si>
  <si>
    <t>gender</t>
  </si>
  <si>
    <t>Giới tính của khách hàng đặt đơn, hỗ trợ phân tích nhân khẩu học</t>
  </si>
  <si>
    <t>product_id</t>
  </si>
  <si>
    <t>Mã sản phẩm được mua trong đơn</t>
  </si>
  <si>
    <t>email</t>
  </si>
  <si>
    <t>Email khách hàng, dùng để định danh và liên hệ</t>
  </si>
  <si>
    <t>created_at</t>
  </si>
  <si>
    <t>Thời điểm đơn hàng được tạo</t>
  </si>
  <si>
    <t>inventory_item_id</t>
  </si>
  <si>
    <t>Mã tồn kho/biến thể hàng tồn kho tương ứng với sản phẩm</t>
  </si>
  <si>
    <t>age</t>
  </si>
  <si>
    <t>Tuổi của khách hàng, dùng cho phân tích nhân khẩu học</t>
  </si>
  <si>
    <t>returned_at</t>
  </si>
  <si>
    <t>Thời điểm đơn hàng được hoàn trả, nếu có</t>
  </si>
  <si>
    <t>Trạng thái của từng sản phẩm trong đơn hàng</t>
  </si>
  <si>
    <t>Giới tính khách hàng</t>
  </si>
  <si>
    <t>shipped_at</t>
  </si>
  <si>
    <t>Thời điểm đơn hàng được gửi đi</t>
  </si>
  <si>
    <t>Thời điểm dòng sản phẩm được tạo</t>
  </si>
  <si>
    <t>state</t>
  </si>
  <si>
    <t>Bang/khu vực sinh sống</t>
  </si>
  <si>
    <t>delivered_at</t>
  </si>
  <si>
    <t>Thời điểm đơn hàng được giao thành công</t>
  </si>
  <si>
    <t>Thời điểm sản phẩm được gửi đi</t>
  </si>
  <si>
    <t>street_address</t>
  </si>
  <si>
    <t>Địa chỉ chi tiết</t>
  </si>
  <si>
    <t>num_of_item</t>
  </si>
  <si>
    <t>Tổng số sản phẩm trong đơn hàng</t>
  </si>
  <si>
    <t>Thời điểm sản phẩm được giao</t>
  </si>
  <si>
    <t>postal_code</t>
  </si>
  <si>
    <t>Mã bưu điện</t>
  </si>
  <si>
    <t>Thời điểm sản phẩm bị hoàn trả</t>
  </si>
  <si>
    <t>city</t>
  </si>
  <si>
    <t>Thành phố</t>
  </si>
  <si>
    <t>sale_price</t>
  </si>
  <si>
    <t>Giá bán của từng sản phẩm trong đơn, dùng để tính doanh thu</t>
  </si>
  <si>
    <t>country</t>
  </si>
  <si>
    <t>Quốc gia</t>
  </si>
  <si>
    <t>latitude</t>
  </si>
  <si>
    <t>Tọa độ vĩ độ (dùng cho phân tích địa lý)</t>
  </si>
  <si>
    <t>longitude</t>
  </si>
  <si>
    <t>Tọa độ kinh độ</t>
  </si>
  <si>
    <t>traffic_source</t>
  </si>
  <si>
    <t>Nguồn traffic (Facebook, Google, Organic…)</t>
  </si>
  <si>
    <t>Thời điểm user đăng ký</t>
  </si>
  <si>
    <t>products</t>
  </si>
  <si>
    <t>distrbute center</t>
  </si>
  <si>
    <t>Mã định danh duy nhất của sản phẩm (Primary Key)</t>
  </si>
  <si>
    <t>Mã định danh trung tâm phân phối (Primary Key)</t>
  </si>
  <si>
    <t>cost</t>
  </si>
  <si>
    <t>Giá vốn của sản phẩm (dùng để tính profit)</t>
  </si>
  <si>
    <t>name</t>
  </si>
  <si>
    <t>Tên trung tâm</t>
  </si>
  <si>
    <t>category</t>
  </si>
  <si>
    <t>Nhóm sản phẩm (ví dụ: Clothing, Electronics…)</t>
  </si>
  <si>
    <t>Vĩ độ</t>
  </si>
  <si>
    <t>Tên sản phẩm</t>
  </si>
  <si>
    <t>Kinh độ</t>
  </si>
  <si>
    <t>brand</t>
  </si>
  <si>
    <t>Thương hiệu sản phẩm</t>
  </si>
  <si>
    <t>retail_price</t>
  </si>
  <si>
    <t>Giá niêm yết (giá bán đề xuất)</t>
  </si>
  <si>
    <t>department</t>
  </si>
  <si>
    <t>Bộ phận (level cao hơn category)</t>
  </si>
  <si>
    <t>sku</t>
  </si>
  <si>
    <t>Mã SKU dùng để quản lý tồn kho</t>
  </si>
  <si>
    <t>distribution_center_id</t>
  </si>
  <si>
    <t>Mã trung tâm phân phối quản lý sản phẩm</t>
  </si>
  <si>
    <t>events</t>
  </si>
  <si>
    <t>inventory event</t>
  </si>
  <si>
    <t>Mã định danh của từng event</t>
  </si>
  <si>
    <t>Mã event tồn kho</t>
  </si>
  <si>
    <t>Mã user thực hiện hành vi</t>
  </si>
  <si>
    <t>Mã sản phẩm</t>
  </si>
  <si>
    <t>sequence_number</t>
  </si>
  <si>
    <t>Thứ tự event trong session</t>
  </si>
  <si>
    <t>Thời điểm event</t>
  </si>
  <si>
    <t>session_id</t>
  </si>
  <si>
    <t>Mã session</t>
  </si>
  <si>
    <t>sold_at</t>
  </si>
  <si>
    <t>Thời điểm bán</t>
  </si>
  <si>
    <t>Thời điểm event xảy ra</t>
  </si>
  <si>
    <t>Giá vốn tại thời điểm đó</t>
  </si>
  <si>
    <t>ip_address</t>
  </si>
  <si>
    <t>IP user</t>
  </si>
  <si>
    <t>product_category</t>
  </si>
  <si>
    <t>Danh mục</t>
  </si>
  <si>
    <t>product_name</t>
  </si>
  <si>
    <t>Khu vực</t>
  </si>
  <si>
    <t>product_brand</t>
  </si>
  <si>
    <t>Brand</t>
  </si>
  <si>
    <t>Mã vùng</t>
  </si>
  <si>
    <t>product_retail_price</t>
  </si>
  <si>
    <t>Giá niêm yết</t>
  </si>
  <si>
    <t>browser</t>
  </si>
  <si>
    <t>Trình duyệt</t>
  </si>
  <si>
    <t>product_department</t>
  </si>
  <si>
    <t>Bộ phận</t>
  </si>
  <si>
    <t>Nguồn traffic</t>
  </si>
  <si>
    <t>product_sku</t>
  </si>
  <si>
    <t>SKU</t>
  </si>
  <si>
    <t>uri</t>
  </si>
  <si>
    <t>URL/page</t>
  </si>
  <si>
    <t>product_distribution_center_id</t>
  </si>
  <si>
    <t>Trung tâm phân phối</t>
  </si>
  <si>
    <t>event_type</t>
  </si>
  <si>
    <t>Loại hành vi (view, click…)</t>
  </si>
  <si>
    <t>Lợi nhuận</t>
  </si>
  <si>
    <t>Month</t>
  </si>
  <si>
    <t>Total_revenue</t>
  </si>
  <si>
    <t xml:space="preserve">%MOM growth </t>
  </si>
  <si>
    <t>Total_cost</t>
  </si>
  <si>
    <t>Total_profit</t>
  </si>
  <si>
    <t>Doanh thu bán hàng</t>
  </si>
  <si>
    <t>total_orders</t>
  </si>
  <si>
    <t>AOV</t>
  </si>
  <si>
    <t xml:space="preserve">Lượng truy cập </t>
  </si>
  <si>
    <t>Conversion rate</t>
  </si>
  <si>
    <t>Total_traffic_session</t>
  </si>
  <si>
    <t>Total_purchase_session</t>
  </si>
  <si>
    <t>conversion_rate_pct</t>
  </si>
  <si>
    <t>Giảm trừ doanh thu</t>
  </si>
  <si>
    <t>Rev_returned</t>
  </si>
  <si>
    <t>Discount_amount</t>
  </si>
  <si>
    <t>month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</si>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</sst>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_(&quot;$&quot;* #,##0.00_);_(&quot;$&quot;* \(#,##0.00\);_(&quot;$&quot;* &quot;-&quot;??_);_(@_)"/>
    <numFmt numFmtId="166" formatCode="yyyy-mm"/>
    <numFmt numFmtId="167" formatCode="yyyy-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1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/>
    </xf>
    <xf borderId="3" fillId="0" fontId="1" numFmtId="0" xfId="0" applyAlignment="1" applyBorder="1" applyFont="1">
      <alignment readingOrder="0"/>
    </xf>
    <xf borderId="3" fillId="0" fontId="3" numFmtId="164" xfId="0" applyAlignment="1" applyBorder="1" applyFont="1" applyNumberFormat="1">
      <alignment readingOrder="0"/>
    </xf>
    <xf borderId="3" fillId="0" fontId="3" numFmtId="3" xfId="0" applyAlignment="1" applyBorder="1" applyFont="1" applyNumberFormat="1">
      <alignment readingOrder="0"/>
    </xf>
    <xf borderId="3" fillId="0" fontId="3" numFmtId="165" xfId="0" applyAlignment="1" applyBorder="1" applyFont="1" applyNumberFormat="1">
      <alignment readingOrder="0"/>
    </xf>
    <xf borderId="3" fillId="0" fontId="3" numFmtId="10" xfId="0" applyAlignment="1" applyBorder="1" applyFont="1" applyNumberFormat="1">
      <alignment readingOrder="0"/>
    </xf>
    <xf borderId="3" fillId="0" fontId="1" numFmtId="10" xfId="0" applyBorder="1" applyFont="1" applyNumberFormat="1"/>
    <xf borderId="0" fillId="0" fontId="1" numFmtId="10" xfId="0" applyFont="1" applyNumberFormat="1"/>
    <xf borderId="3" fillId="0" fontId="3" numFmtId="4" xfId="0" applyAlignment="1" applyBorder="1" applyFont="1" applyNumberFormat="1">
      <alignment readingOrder="0"/>
    </xf>
    <xf borderId="3" fillId="0" fontId="3" numFmtId="0" xfId="0" applyBorder="1" applyFont="1"/>
    <xf borderId="3" fillId="0" fontId="3" numFmtId="10" xfId="0" applyBorder="1" applyFont="1" applyNumberFormat="1"/>
    <xf borderId="0" fillId="0" fontId="1" numFmtId="0" xfId="0" applyAlignment="1" applyFont="1">
      <alignment horizontal="center" readingOrder="0"/>
    </xf>
    <xf borderId="0" fillId="0" fontId="3" numFmtId="166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000000"/>
      </font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25"/>
    <col customWidth="1" min="4" max="4" width="18.13"/>
    <col customWidth="1" min="5" max="5" width="31.38"/>
    <col customWidth="1" min="8" max="8" width="29.63"/>
  </cols>
  <sheetData>
    <row r="3">
      <c r="A3" s="1" t="s">
        <v>0</v>
      </c>
      <c r="B3" s="2"/>
      <c r="D3" s="1" t="s">
        <v>1</v>
      </c>
      <c r="E3" s="2"/>
      <c r="G3" s="1" t="s">
        <v>2</v>
      </c>
      <c r="H3" s="2"/>
    </row>
    <row r="4">
      <c r="A4" s="3" t="s">
        <v>3</v>
      </c>
      <c r="B4" s="4" t="s">
        <v>4</v>
      </c>
      <c r="D4" s="3" t="s">
        <v>3</v>
      </c>
      <c r="E4" s="3" t="s">
        <v>4</v>
      </c>
      <c r="G4" s="3" t="s">
        <v>3</v>
      </c>
      <c r="H4" s="3" t="s">
        <v>4</v>
      </c>
    </row>
    <row r="5">
      <c r="A5" s="5" t="s">
        <v>5</v>
      </c>
      <c r="B5" s="6" t="s">
        <v>6</v>
      </c>
      <c r="D5" s="5" t="s">
        <v>7</v>
      </c>
      <c r="E5" s="6" t="s">
        <v>8</v>
      </c>
      <c r="G5" s="5" t="s">
        <v>7</v>
      </c>
      <c r="H5" s="6" t="s">
        <v>9</v>
      </c>
    </row>
    <row r="6">
      <c r="A6" s="5" t="s">
        <v>10</v>
      </c>
      <c r="B6" s="6" t="s">
        <v>11</v>
      </c>
      <c r="D6" s="5" t="s">
        <v>5</v>
      </c>
      <c r="E6" s="6" t="s">
        <v>12</v>
      </c>
      <c r="G6" s="5" t="s">
        <v>13</v>
      </c>
      <c r="H6" s="6" t="s">
        <v>14</v>
      </c>
    </row>
    <row r="7">
      <c r="A7" s="5" t="s">
        <v>15</v>
      </c>
      <c r="B7" s="6" t="s">
        <v>16</v>
      </c>
      <c r="D7" s="5" t="s">
        <v>10</v>
      </c>
      <c r="E7" s="6" t="s">
        <v>17</v>
      </c>
      <c r="G7" s="5" t="s">
        <v>18</v>
      </c>
      <c r="H7" s="6" t="s">
        <v>19</v>
      </c>
    </row>
    <row r="8">
      <c r="A8" s="5" t="s">
        <v>20</v>
      </c>
      <c r="B8" s="6" t="s">
        <v>21</v>
      </c>
      <c r="D8" s="5" t="s">
        <v>22</v>
      </c>
      <c r="E8" s="6" t="s">
        <v>23</v>
      </c>
      <c r="G8" s="5" t="s">
        <v>24</v>
      </c>
      <c r="H8" s="6" t="s">
        <v>25</v>
      </c>
    </row>
    <row r="9">
      <c r="A9" s="5" t="s">
        <v>26</v>
      </c>
      <c r="B9" s="6" t="s">
        <v>27</v>
      </c>
      <c r="D9" s="5" t="s">
        <v>28</v>
      </c>
      <c r="E9" s="6" t="s">
        <v>29</v>
      </c>
      <c r="G9" s="5" t="s">
        <v>30</v>
      </c>
      <c r="H9" s="6" t="s">
        <v>31</v>
      </c>
    </row>
    <row r="10">
      <c r="A10" s="5" t="s">
        <v>32</v>
      </c>
      <c r="B10" s="6" t="s">
        <v>33</v>
      </c>
      <c r="D10" s="5" t="s">
        <v>15</v>
      </c>
      <c r="E10" s="6" t="s">
        <v>34</v>
      </c>
      <c r="G10" s="5" t="s">
        <v>20</v>
      </c>
      <c r="H10" s="6" t="s">
        <v>35</v>
      </c>
    </row>
    <row r="11">
      <c r="A11" s="5" t="s">
        <v>36</v>
      </c>
      <c r="B11" s="6" t="s">
        <v>37</v>
      </c>
      <c r="D11" s="5" t="s">
        <v>26</v>
      </c>
      <c r="E11" s="6" t="s">
        <v>38</v>
      </c>
      <c r="G11" s="5" t="s">
        <v>39</v>
      </c>
      <c r="H11" s="6" t="s">
        <v>40</v>
      </c>
    </row>
    <row r="12">
      <c r="A12" s="5" t="s">
        <v>41</v>
      </c>
      <c r="B12" s="6" t="s">
        <v>42</v>
      </c>
      <c r="D12" s="5" t="s">
        <v>36</v>
      </c>
      <c r="E12" s="6" t="s">
        <v>43</v>
      </c>
      <c r="G12" s="5" t="s">
        <v>44</v>
      </c>
      <c r="H12" s="6" t="s">
        <v>45</v>
      </c>
    </row>
    <row r="13">
      <c r="A13" s="5" t="s">
        <v>46</v>
      </c>
      <c r="B13" s="6" t="s">
        <v>47</v>
      </c>
      <c r="D13" s="5" t="s">
        <v>41</v>
      </c>
      <c r="E13" s="6" t="s">
        <v>48</v>
      </c>
      <c r="G13" s="5" t="s">
        <v>49</v>
      </c>
      <c r="H13" s="6" t="s">
        <v>50</v>
      </c>
    </row>
    <row r="14">
      <c r="D14" s="5" t="s">
        <v>32</v>
      </c>
      <c r="E14" s="6" t="s">
        <v>51</v>
      </c>
      <c r="G14" s="5" t="s">
        <v>52</v>
      </c>
      <c r="H14" s="6" t="s">
        <v>53</v>
      </c>
    </row>
    <row r="15">
      <c r="D15" s="5" t="s">
        <v>54</v>
      </c>
      <c r="E15" s="6" t="s">
        <v>55</v>
      </c>
      <c r="G15" s="5" t="s">
        <v>56</v>
      </c>
      <c r="H15" s="6" t="s">
        <v>57</v>
      </c>
    </row>
    <row r="16">
      <c r="G16" s="5" t="s">
        <v>58</v>
      </c>
      <c r="H16" s="6" t="s">
        <v>59</v>
      </c>
    </row>
    <row r="17">
      <c r="G17" s="5" t="s">
        <v>60</v>
      </c>
      <c r="H17" s="6" t="s">
        <v>61</v>
      </c>
    </row>
    <row r="18">
      <c r="G18" s="5" t="s">
        <v>62</v>
      </c>
      <c r="H18" s="6" t="s">
        <v>63</v>
      </c>
    </row>
    <row r="19">
      <c r="G19" s="5" t="s">
        <v>26</v>
      </c>
      <c r="H19" s="6" t="s">
        <v>64</v>
      </c>
    </row>
    <row r="21">
      <c r="A21" s="1" t="s">
        <v>65</v>
      </c>
      <c r="B21" s="2"/>
      <c r="D21" s="1" t="s">
        <v>66</v>
      </c>
      <c r="E21" s="2"/>
    </row>
    <row r="22">
      <c r="A22" s="3" t="s">
        <v>3</v>
      </c>
      <c r="B22" s="3" t="s">
        <v>4</v>
      </c>
      <c r="D22" s="3" t="s">
        <v>3</v>
      </c>
      <c r="E22" s="3" t="s">
        <v>4</v>
      </c>
    </row>
    <row r="23">
      <c r="A23" s="5" t="s">
        <v>7</v>
      </c>
      <c r="B23" s="6" t="s">
        <v>67</v>
      </c>
      <c r="D23" s="5" t="s">
        <v>7</v>
      </c>
      <c r="E23" s="6" t="s">
        <v>68</v>
      </c>
    </row>
    <row r="24">
      <c r="A24" s="5" t="s">
        <v>69</v>
      </c>
      <c r="B24" s="6" t="s">
        <v>70</v>
      </c>
      <c r="D24" s="5" t="s">
        <v>71</v>
      </c>
      <c r="E24" s="6" t="s">
        <v>72</v>
      </c>
    </row>
    <row r="25">
      <c r="A25" s="5" t="s">
        <v>73</v>
      </c>
      <c r="B25" s="6" t="s">
        <v>74</v>
      </c>
      <c r="D25" s="5" t="s">
        <v>58</v>
      </c>
      <c r="E25" s="6" t="s">
        <v>75</v>
      </c>
    </row>
    <row r="26">
      <c r="A26" s="5" t="s">
        <v>71</v>
      </c>
      <c r="B26" s="6" t="s">
        <v>76</v>
      </c>
      <c r="D26" s="5" t="s">
        <v>60</v>
      </c>
      <c r="E26" s="6" t="s">
        <v>77</v>
      </c>
    </row>
    <row r="27">
      <c r="A27" s="5" t="s">
        <v>78</v>
      </c>
      <c r="B27" s="6" t="s">
        <v>79</v>
      </c>
    </row>
    <row r="28">
      <c r="A28" s="5" t="s">
        <v>80</v>
      </c>
      <c r="B28" s="6" t="s">
        <v>81</v>
      </c>
    </row>
    <row r="29">
      <c r="A29" s="5" t="s">
        <v>82</v>
      </c>
      <c r="B29" s="6" t="s">
        <v>83</v>
      </c>
    </row>
    <row r="30">
      <c r="A30" s="5" t="s">
        <v>84</v>
      </c>
      <c r="B30" s="6" t="s">
        <v>85</v>
      </c>
    </row>
    <row r="31">
      <c r="A31" s="5" t="s">
        <v>86</v>
      </c>
      <c r="B31" s="6" t="s">
        <v>87</v>
      </c>
    </row>
    <row r="34">
      <c r="A34" s="1" t="s">
        <v>88</v>
      </c>
      <c r="B34" s="2"/>
      <c r="D34" s="1" t="s">
        <v>89</v>
      </c>
      <c r="E34" s="2"/>
    </row>
    <row r="35">
      <c r="A35" s="3" t="s">
        <v>3</v>
      </c>
      <c r="B35" s="3" t="s">
        <v>4</v>
      </c>
      <c r="D35" s="3" t="s">
        <v>3</v>
      </c>
      <c r="E35" s="3" t="s">
        <v>4</v>
      </c>
    </row>
    <row r="36">
      <c r="A36" s="5" t="s">
        <v>7</v>
      </c>
      <c r="B36" s="5" t="s">
        <v>90</v>
      </c>
      <c r="D36" s="5" t="s">
        <v>7</v>
      </c>
      <c r="E36" s="5" t="s">
        <v>91</v>
      </c>
    </row>
    <row r="37">
      <c r="A37" s="5" t="s">
        <v>10</v>
      </c>
      <c r="B37" s="5" t="s">
        <v>92</v>
      </c>
      <c r="D37" s="5" t="s">
        <v>22</v>
      </c>
      <c r="E37" s="5" t="s">
        <v>93</v>
      </c>
    </row>
    <row r="38">
      <c r="A38" s="5" t="s">
        <v>94</v>
      </c>
      <c r="B38" s="5" t="s">
        <v>95</v>
      </c>
      <c r="D38" s="5" t="s">
        <v>26</v>
      </c>
      <c r="E38" s="5" t="s">
        <v>96</v>
      </c>
    </row>
    <row r="39">
      <c r="A39" s="5" t="s">
        <v>97</v>
      </c>
      <c r="B39" s="5" t="s">
        <v>98</v>
      </c>
      <c r="D39" s="5" t="s">
        <v>99</v>
      </c>
      <c r="E39" s="5" t="s">
        <v>100</v>
      </c>
    </row>
    <row r="40">
      <c r="A40" s="5" t="s">
        <v>26</v>
      </c>
      <c r="B40" s="5" t="s">
        <v>101</v>
      </c>
      <c r="D40" s="5" t="s">
        <v>69</v>
      </c>
      <c r="E40" s="5" t="s">
        <v>102</v>
      </c>
    </row>
    <row r="41">
      <c r="A41" s="5" t="s">
        <v>103</v>
      </c>
      <c r="B41" s="5" t="s">
        <v>104</v>
      </c>
      <c r="D41" s="5" t="s">
        <v>105</v>
      </c>
      <c r="E41" s="5" t="s">
        <v>106</v>
      </c>
    </row>
    <row r="42">
      <c r="A42" s="5" t="s">
        <v>52</v>
      </c>
      <c r="B42" s="5" t="s">
        <v>53</v>
      </c>
      <c r="D42" s="5" t="s">
        <v>107</v>
      </c>
      <c r="E42" s="5" t="s">
        <v>76</v>
      </c>
    </row>
    <row r="43">
      <c r="A43" s="5" t="s">
        <v>39</v>
      </c>
      <c r="B43" s="5" t="s">
        <v>108</v>
      </c>
      <c r="D43" s="5" t="s">
        <v>109</v>
      </c>
      <c r="E43" s="5" t="s">
        <v>110</v>
      </c>
    </row>
    <row r="44">
      <c r="A44" s="5" t="s">
        <v>49</v>
      </c>
      <c r="B44" s="5" t="s">
        <v>111</v>
      </c>
      <c r="D44" s="5" t="s">
        <v>112</v>
      </c>
      <c r="E44" s="5" t="s">
        <v>113</v>
      </c>
    </row>
    <row r="45">
      <c r="A45" s="5" t="s">
        <v>114</v>
      </c>
      <c r="B45" s="5" t="s">
        <v>115</v>
      </c>
      <c r="D45" s="5" t="s">
        <v>116</v>
      </c>
      <c r="E45" s="5" t="s">
        <v>117</v>
      </c>
    </row>
    <row r="46">
      <c r="A46" s="5" t="s">
        <v>62</v>
      </c>
      <c r="B46" s="5" t="s">
        <v>118</v>
      </c>
      <c r="D46" s="5" t="s">
        <v>119</v>
      </c>
      <c r="E46" s="5" t="s">
        <v>120</v>
      </c>
    </row>
    <row r="47">
      <c r="A47" s="5" t="s">
        <v>121</v>
      </c>
      <c r="B47" s="5" t="s">
        <v>122</v>
      </c>
      <c r="D47" s="5" t="s">
        <v>123</v>
      </c>
      <c r="E47" s="5" t="s">
        <v>124</v>
      </c>
    </row>
    <row r="48">
      <c r="A48" s="5" t="s">
        <v>125</v>
      </c>
      <c r="B48" s="5" t="s">
        <v>126</v>
      </c>
    </row>
  </sheetData>
  <mergeCells count="7">
    <mergeCell ref="A3:B3"/>
    <mergeCell ref="D3:E3"/>
    <mergeCell ref="G3:H3"/>
    <mergeCell ref="A21:B21"/>
    <mergeCell ref="D21:E21"/>
    <mergeCell ref="A34:B34"/>
    <mergeCell ref="D34:E3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5"/>
    <col customWidth="1" min="4" max="4" width="19.38"/>
    <col customWidth="1" min="5" max="5" width="17.25"/>
    <col customWidth="1" min="6" max="6" width="18.38"/>
  </cols>
  <sheetData>
    <row r="3">
      <c r="A3" s="7" t="s">
        <v>127</v>
      </c>
    </row>
    <row r="4">
      <c r="B4" s="8" t="s">
        <v>128</v>
      </c>
      <c r="C4" s="8" t="s">
        <v>129</v>
      </c>
      <c r="D4" s="8" t="s">
        <v>130</v>
      </c>
      <c r="E4" s="8" t="s">
        <v>131</v>
      </c>
      <c r="F4" s="8" t="s">
        <v>130</v>
      </c>
      <c r="G4" s="8" t="s">
        <v>132</v>
      </c>
      <c r="H4" s="8" t="s">
        <v>130</v>
      </c>
    </row>
    <row r="5">
      <c r="B5" s="9">
        <v>45292.0</v>
      </c>
      <c r="C5" s="10">
        <v>348737.74</v>
      </c>
      <c r="D5" s="10"/>
      <c r="E5" s="10">
        <v>167772.0</v>
      </c>
      <c r="F5" s="10"/>
      <c r="G5" s="10">
        <v>180966.0</v>
      </c>
      <c r="H5" s="11"/>
    </row>
    <row r="6">
      <c r="B6" s="9">
        <v>45323.0</v>
      </c>
      <c r="C6" s="10">
        <v>381972.6</v>
      </c>
      <c r="D6" s="12">
        <f t="shared" ref="D6:D9" si="1">(C6-C5)/C5</f>
        <v>0.09530043981</v>
      </c>
      <c r="E6" s="10">
        <v>183409.0</v>
      </c>
      <c r="F6" s="12">
        <f t="shared" ref="F6:F9" si="2">(E6-E5)/E5</f>
        <v>0.09320387192</v>
      </c>
      <c r="G6" s="10">
        <v>198564.0</v>
      </c>
      <c r="H6" s="13">
        <f t="shared" ref="H6:H9" si="3">(G6-G5)/G5</f>
        <v>0.09724478631</v>
      </c>
    </row>
    <row r="7">
      <c r="B7" s="9">
        <v>45352.0</v>
      </c>
      <c r="C7" s="10">
        <v>441334.21</v>
      </c>
      <c r="D7" s="12">
        <f t="shared" si="1"/>
        <v>0.1554080319</v>
      </c>
      <c r="E7" s="10">
        <v>212237.0</v>
      </c>
      <c r="F7" s="12">
        <f t="shared" si="2"/>
        <v>0.1571787644</v>
      </c>
      <c r="G7" s="10">
        <v>229098.0</v>
      </c>
      <c r="H7" s="13">
        <f t="shared" si="3"/>
        <v>0.153774098</v>
      </c>
    </row>
    <row r="8">
      <c r="B8" s="9">
        <v>45383.0</v>
      </c>
      <c r="C8" s="10">
        <v>550157.88</v>
      </c>
      <c r="D8" s="12">
        <f t="shared" si="1"/>
        <v>0.2465788229</v>
      </c>
      <c r="E8" s="10">
        <v>264907.0</v>
      </c>
      <c r="F8" s="12">
        <f t="shared" si="2"/>
        <v>0.2481659654</v>
      </c>
      <c r="G8" s="10">
        <v>285251.0</v>
      </c>
      <c r="H8" s="13">
        <f t="shared" si="3"/>
        <v>0.245104715</v>
      </c>
    </row>
    <row r="9">
      <c r="B9" s="9">
        <v>45413.0</v>
      </c>
      <c r="C9" s="10">
        <v>437331.67</v>
      </c>
      <c r="D9" s="12">
        <f t="shared" si="1"/>
        <v>-0.2050796946</v>
      </c>
      <c r="E9" s="10">
        <v>210843.0</v>
      </c>
      <c r="F9" s="12">
        <f t="shared" si="2"/>
        <v>-0.2040867172</v>
      </c>
      <c r="G9" s="10">
        <v>226489.0</v>
      </c>
      <c r="H9" s="13">
        <f t="shared" si="3"/>
        <v>-0.2060010307</v>
      </c>
    </row>
    <row r="10">
      <c r="H10" s="14"/>
    </row>
    <row r="12">
      <c r="A12" s="7" t="s">
        <v>133</v>
      </c>
    </row>
    <row r="13">
      <c r="B13" s="8" t="s">
        <v>128</v>
      </c>
      <c r="C13" s="8" t="s">
        <v>129</v>
      </c>
      <c r="D13" s="8" t="s">
        <v>134</v>
      </c>
      <c r="E13" s="8" t="s">
        <v>135</v>
      </c>
      <c r="F13" s="8" t="s">
        <v>130</v>
      </c>
    </row>
    <row r="14">
      <c r="B14" s="9">
        <v>45292.0</v>
      </c>
      <c r="C14" s="15">
        <v>348737.74</v>
      </c>
      <c r="D14" s="10">
        <v>4123.0</v>
      </c>
      <c r="E14" s="15">
        <v>8458.35</v>
      </c>
      <c r="F14" s="16"/>
    </row>
    <row r="15">
      <c r="B15" s="9">
        <v>45323.0</v>
      </c>
      <c r="C15" s="15">
        <v>381972.6</v>
      </c>
      <c r="D15" s="10">
        <v>4380.0</v>
      </c>
      <c r="E15" s="15">
        <v>8720.84</v>
      </c>
      <c r="F15" s="17">
        <f t="shared" ref="F15:F18" si="4">(E15-E14)/E14</f>
        <v>0.03103323934</v>
      </c>
    </row>
    <row r="16">
      <c r="B16" s="9">
        <v>45352.0</v>
      </c>
      <c r="C16" s="15">
        <v>441334.21</v>
      </c>
      <c r="D16" s="10">
        <v>5333.0</v>
      </c>
      <c r="E16" s="15">
        <v>8275.53</v>
      </c>
      <c r="F16" s="17">
        <f t="shared" si="4"/>
        <v>-0.05106274166</v>
      </c>
    </row>
    <row r="17">
      <c r="B17" s="9">
        <v>45383.0</v>
      </c>
      <c r="C17" s="15">
        <v>550157.88</v>
      </c>
      <c r="D17" s="10">
        <v>6437.0</v>
      </c>
      <c r="E17" s="15">
        <v>8546.81</v>
      </c>
      <c r="F17" s="17">
        <f t="shared" si="4"/>
        <v>0.032780982</v>
      </c>
    </row>
    <row r="18">
      <c r="B18" s="9">
        <v>45413.0</v>
      </c>
      <c r="C18" s="15">
        <v>437331.67</v>
      </c>
      <c r="D18" s="10">
        <v>4969.0</v>
      </c>
      <c r="E18" s="15">
        <v>8801.2</v>
      </c>
      <c r="F18" s="17">
        <f t="shared" si="4"/>
        <v>0.02976432143</v>
      </c>
    </row>
    <row r="21">
      <c r="A21" s="7" t="s">
        <v>136</v>
      </c>
      <c r="B21" s="7" t="s">
        <v>137</v>
      </c>
    </row>
    <row r="22">
      <c r="B22" s="8" t="s">
        <v>128</v>
      </c>
      <c r="C22" s="8" t="s">
        <v>138</v>
      </c>
      <c r="D22" s="8" t="s">
        <v>130</v>
      </c>
      <c r="E22" s="8" t="s">
        <v>139</v>
      </c>
      <c r="F22" s="8" t="s">
        <v>140</v>
      </c>
      <c r="G22" s="8" t="s">
        <v>130</v>
      </c>
    </row>
    <row r="23">
      <c r="B23" s="9">
        <v>45292.0</v>
      </c>
      <c r="C23" s="10">
        <v>15974.0</v>
      </c>
      <c r="D23" s="10"/>
      <c r="E23" s="10">
        <v>7796.0</v>
      </c>
      <c r="F23" s="12">
        <v>0.488</v>
      </c>
      <c r="G23" s="16"/>
    </row>
    <row r="24">
      <c r="B24" s="9">
        <v>45323.0</v>
      </c>
      <c r="C24" s="10">
        <v>15979.0</v>
      </c>
      <c r="D24" s="12">
        <f t="shared" ref="D24:D27" si="5">(C24-C23)/C23</f>
        <v>0.000313008639</v>
      </c>
      <c r="E24" s="10">
        <v>8226.0</v>
      </c>
      <c r="F24" s="12">
        <v>0.5148</v>
      </c>
      <c r="G24" s="17">
        <f t="shared" ref="G24:G27" si="6">(F24-F23)/F23</f>
        <v>0.05491803279</v>
      </c>
    </row>
    <row r="25">
      <c r="B25" s="9">
        <v>45352.0</v>
      </c>
      <c r="C25" s="10">
        <v>18259.0</v>
      </c>
      <c r="D25" s="12">
        <f t="shared" si="5"/>
        <v>0.1426872771</v>
      </c>
      <c r="E25" s="10">
        <v>10040.0</v>
      </c>
      <c r="F25" s="12">
        <v>0.5499</v>
      </c>
      <c r="G25" s="17">
        <f t="shared" si="6"/>
        <v>0.06818181818</v>
      </c>
    </row>
    <row r="26">
      <c r="B26" s="9">
        <v>45383.0</v>
      </c>
      <c r="C26" s="10">
        <v>20611.0</v>
      </c>
      <c r="D26" s="12">
        <f t="shared" si="5"/>
        <v>0.128813188</v>
      </c>
      <c r="E26" s="10">
        <v>12313.0</v>
      </c>
      <c r="F26" s="12">
        <v>0.5974</v>
      </c>
      <c r="G26" s="17">
        <f t="shared" si="6"/>
        <v>0.0863793417</v>
      </c>
    </row>
    <row r="27">
      <c r="B27" s="9">
        <v>45413.0</v>
      </c>
      <c r="C27" s="10">
        <v>11773.0</v>
      </c>
      <c r="D27" s="12">
        <f t="shared" si="5"/>
        <v>-0.4288001553</v>
      </c>
      <c r="E27" s="10">
        <v>9693.0</v>
      </c>
      <c r="F27" s="12">
        <v>0.8233</v>
      </c>
      <c r="G27" s="17">
        <f t="shared" si="6"/>
        <v>0.3781386006</v>
      </c>
    </row>
    <row r="29">
      <c r="A29" s="7" t="s">
        <v>141</v>
      </c>
    </row>
    <row r="30">
      <c r="B30" s="8" t="s">
        <v>128</v>
      </c>
      <c r="C30" s="8" t="s">
        <v>142</v>
      </c>
      <c r="D30" s="8" t="s">
        <v>130</v>
      </c>
      <c r="E30" s="8" t="s">
        <v>143</v>
      </c>
    </row>
    <row r="31">
      <c r="B31" s="9">
        <v>45292.0</v>
      </c>
      <c r="C31" s="10">
        <v>46178.72</v>
      </c>
      <c r="D31" s="12"/>
      <c r="E31" s="5">
        <v>0.0</v>
      </c>
    </row>
    <row r="32">
      <c r="B32" s="9">
        <v>45323.0</v>
      </c>
      <c r="C32" s="10">
        <v>43871.75</v>
      </c>
      <c r="D32" s="12">
        <f t="shared" ref="D32:D35" si="7">(C32-C31)/C31</f>
        <v>-0.04995742628</v>
      </c>
      <c r="E32" s="5">
        <v>0.0</v>
      </c>
    </row>
    <row r="33">
      <c r="B33" s="9">
        <v>45352.0</v>
      </c>
      <c r="C33" s="10">
        <v>60050.82</v>
      </c>
      <c r="D33" s="12">
        <f t="shared" si="7"/>
        <v>0.3687810493</v>
      </c>
      <c r="E33" s="5">
        <v>0.0</v>
      </c>
    </row>
    <row r="34">
      <c r="B34" s="9">
        <v>45383.0</v>
      </c>
      <c r="C34" s="10">
        <v>77886.14</v>
      </c>
      <c r="D34" s="12">
        <f t="shared" si="7"/>
        <v>0.2970037711</v>
      </c>
      <c r="E34" s="5">
        <v>0.0</v>
      </c>
    </row>
    <row r="35">
      <c r="B35" s="9">
        <v>45413.0</v>
      </c>
      <c r="C35" s="10">
        <v>59139.34</v>
      </c>
      <c r="D35" s="12">
        <f t="shared" si="7"/>
        <v>-0.2406949426</v>
      </c>
      <c r="E35" s="5">
        <v>0.0</v>
      </c>
    </row>
  </sheetData>
  <conditionalFormatting sqref="H5:H10">
    <cfRule type="cellIs" dxfId="0" priority="1" operator="greaterThan">
      <formula>0</formula>
    </cfRule>
  </conditionalFormatting>
  <conditionalFormatting sqref="H5:H10">
    <cfRule type="cellIs" dxfId="1" priority="2" operator="lessThan">
      <formula>0</formula>
    </cfRule>
  </conditionalFormatting>
  <conditionalFormatting sqref="D6:D9 F6:F9">
    <cfRule type="cellIs" dxfId="0" priority="3" operator="greaterThan">
      <formula>0</formula>
    </cfRule>
  </conditionalFormatting>
  <conditionalFormatting sqref="D6:D9 F6:F9">
    <cfRule type="cellIs" dxfId="1" priority="4" operator="lessThan">
      <formula>0</formula>
    </cfRule>
  </conditionalFormatting>
  <conditionalFormatting sqref="F14:F18">
    <cfRule type="cellIs" dxfId="0" priority="5" operator="greaterThan">
      <formula>0</formula>
    </cfRule>
  </conditionalFormatting>
  <conditionalFormatting sqref="F14:F18">
    <cfRule type="cellIs" dxfId="1" priority="6" operator="lessThan">
      <formula>0</formula>
    </cfRule>
  </conditionalFormatting>
  <conditionalFormatting sqref="D23:D27">
    <cfRule type="cellIs" dxfId="0" priority="7" operator="greaterThan">
      <formula>0</formula>
    </cfRule>
  </conditionalFormatting>
  <conditionalFormatting sqref="D23:D27">
    <cfRule type="cellIs" dxfId="2" priority="8" operator="lessThan">
      <formula>0</formula>
    </cfRule>
  </conditionalFormatting>
  <conditionalFormatting sqref="G23:G27">
    <cfRule type="cellIs" dxfId="0" priority="9" operator="greaterThan">
      <formula>0</formula>
    </cfRule>
  </conditionalFormatting>
  <conditionalFormatting sqref="D31:D35">
    <cfRule type="cellIs" dxfId="0" priority="10" operator="greaterThan">
      <formula>0</formula>
    </cfRule>
  </conditionalFormatting>
  <conditionalFormatting sqref="D31:D35">
    <cfRule type="cellIs" dxfId="1" priority="11" operator="less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18" t="s">
        <v>144</v>
      </c>
      <c r="C4" s="18" t="s">
        <v>145</v>
      </c>
    </row>
    <row r="5">
      <c r="B5" s="19">
        <v>43466.0</v>
      </c>
      <c r="C5" s="20">
        <v>1238.81999492645</v>
      </c>
    </row>
    <row r="6">
      <c r="B6" s="19">
        <v>43497.0</v>
      </c>
      <c r="C6" s="20">
        <v>2390.24000835418</v>
      </c>
    </row>
    <row r="7">
      <c r="B7" s="19">
        <v>43525.0</v>
      </c>
      <c r="C7" s="20">
        <v>7089.28999495506</v>
      </c>
    </row>
    <row r="8">
      <c r="B8" s="19">
        <v>43556.0</v>
      </c>
      <c r="C8" s="20">
        <v>9934.07002162933</v>
      </c>
    </row>
    <row r="9">
      <c r="B9" s="19">
        <v>43586.0</v>
      </c>
      <c r="C9" s="20">
        <v>12040.1600103378</v>
      </c>
    </row>
    <row r="10">
      <c r="B10" s="19">
        <v>43617.0</v>
      </c>
      <c r="C10" s="20">
        <v>15710.74000597</v>
      </c>
    </row>
    <row r="11">
      <c r="B11" s="19">
        <v>43647.0</v>
      </c>
      <c r="C11" s="20">
        <v>16600.7000341415</v>
      </c>
    </row>
    <row r="12">
      <c r="B12" s="19">
        <v>43678.0</v>
      </c>
      <c r="C12" s="20">
        <v>20142.0500881671</v>
      </c>
    </row>
    <row r="13">
      <c r="B13" s="19">
        <v>43709.0</v>
      </c>
      <c r="C13" s="20">
        <v>20081.9600172042</v>
      </c>
    </row>
    <row r="14">
      <c r="B14" s="21">
        <v>43739.0</v>
      </c>
      <c r="C14" s="20">
        <v>28853.8200111575</v>
      </c>
    </row>
    <row r="15">
      <c r="B15" s="21">
        <v>43770.0</v>
      </c>
      <c r="C15" s="20">
        <v>28866.0900230407</v>
      </c>
    </row>
    <row r="16">
      <c r="B16" s="21">
        <v>43800.0</v>
      </c>
      <c r="C16" s="20">
        <v>31094.8800516128</v>
      </c>
    </row>
    <row r="17">
      <c r="B17" s="19">
        <v>43831.0</v>
      </c>
      <c r="C17" s="20">
        <v>38191.7299861907</v>
      </c>
    </row>
    <row r="18">
      <c r="B18" s="19">
        <v>43862.0</v>
      </c>
      <c r="C18" s="20">
        <v>34260.4000408649</v>
      </c>
    </row>
    <row r="19">
      <c r="B19" s="19">
        <v>43891.0</v>
      </c>
      <c r="C19" s="20">
        <v>45123.509995222</v>
      </c>
    </row>
    <row r="20">
      <c r="B20" s="19">
        <v>43922.0</v>
      </c>
      <c r="C20" s="20">
        <v>47403.100025177</v>
      </c>
    </row>
    <row r="21">
      <c r="B21" s="19">
        <v>43952.0</v>
      </c>
      <c r="C21" s="20">
        <v>47723.3100864887</v>
      </c>
    </row>
    <row r="22">
      <c r="B22" s="19">
        <v>43983.0</v>
      </c>
      <c r="C22" s="20">
        <v>50106.2900595665</v>
      </c>
    </row>
    <row r="23">
      <c r="B23" s="19">
        <v>44013.0</v>
      </c>
      <c r="C23" s="20">
        <v>58806.590023756</v>
      </c>
    </row>
    <row r="24">
      <c r="B24" s="19">
        <v>44044.0</v>
      </c>
      <c r="C24" s="20">
        <v>59100.4600634574</v>
      </c>
    </row>
    <row r="25">
      <c r="B25" s="19">
        <v>44075.0</v>
      </c>
      <c r="C25" s="20">
        <v>59742.1600666046</v>
      </c>
    </row>
    <row r="26">
      <c r="B26" s="21">
        <v>44105.0</v>
      </c>
      <c r="C26" s="20">
        <v>66309.9700360298</v>
      </c>
    </row>
    <row r="27">
      <c r="B27" s="21">
        <v>44136.0</v>
      </c>
      <c r="C27" s="20">
        <v>71558.3400714397</v>
      </c>
    </row>
    <row r="28">
      <c r="B28" s="21">
        <v>44166.0</v>
      </c>
      <c r="C28" s="20">
        <v>69198.3400242328</v>
      </c>
    </row>
    <row r="29">
      <c r="B29" s="19">
        <v>44197.0</v>
      </c>
      <c r="C29" s="20">
        <v>80213.9899868965</v>
      </c>
    </row>
    <row r="30">
      <c r="B30" s="19">
        <v>44228.0</v>
      </c>
      <c r="C30" s="20">
        <v>76418.9500720501</v>
      </c>
    </row>
    <row r="31">
      <c r="B31" s="19">
        <v>44256.0</v>
      </c>
      <c r="C31" s="20">
        <v>79809.5200846195</v>
      </c>
    </row>
    <row r="32">
      <c r="B32" s="19">
        <v>44287.0</v>
      </c>
      <c r="C32" s="20">
        <v>92458.4901940822</v>
      </c>
    </row>
    <row r="33">
      <c r="B33" s="19">
        <v>44317.0</v>
      </c>
      <c r="C33" s="20">
        <v>95554.1301102638</v>
      </c>
    </row>
    <row r="34">
      <c r="B34" s="19">
        <v>44348.0</v>
      </c>
      <c r="C34" s="20">
        <v>102529.760084152</v>
      </c>
    </row>
    <row r="35">
      <c r="B35" s="19">
        <v>44378.0</v>
      </c>
      <c r="C35" s="20">
        <v>109838.750061273</v>
      </c>
    </row>
    <row r="36">
      <c r="B36" s="19">
        <v>44409.0</v>
      </c>
      <c r="C36" s="20">
        <v>108502.840177059</v>
      </c>
    </row>
    <row r="37">
      <c r="B37" s="19">
        <v>44440.0</v>
      </c>
      <c r="C37" s="20">
        <v>112603.740146636</v>
      </c>
    </row>
    <row r="38">
      <c r="B38" s="21">
        <v>44470.0</v>
      </c>
      <c r="C38" s="20">
        <v>121138.430061101</v>
      </c>
    </row>
    <row r="39">
      <c r="B39" s="21">
        <v>44501.0</v>
      </c>
      <c r="C39" s="20">
        <v>129154.320106983</v>
      </c>
    </row>
    <row r="40">
      <c r="B40" s="21">
        <v>44531.0</v>
      </c>
      <c r="C40" s="20">
        <v>130645.020164508</v>
      </c>
    </row>
    <row r="41">
      <c r="B41" s="19">
        <v>44562.0</v>
      </c>
      <c r="C41" s="20">
        <v>146386.330232143</v>
      </c>
    </row>
    <row r="42">
      <c r="B42" s="19">
        <v>44593.0</v>
      </c>
      <c r="C42" s="20">
        <v>127164.50021553</v>
      </c>
    </row>
    <row r="43">
      <c r="B43" s="19">
        <v>44621.0</v>
      </c>
      <c r="C43" s="20">
        <v>156818.230313062</v>
      </c>
    </row>
    <row r="44">
      <c r="B44" s="19">
        <v>44652.0</v>
      </c>
      <c r="C44" s="20">
        <v>149686.160244226</v>
      </c>
    </row>
    <row r="45">
      <c r="B45" s="19">
        <v>44682.0</v>
      </c>
      <c r="C45" s="20">
        <v>160890.390156984</v>
      </c>
    </row>
    <row r="46">
      <c r="B46" s="19">
        <v>44713.0</v>
      </c>
      <c r="C46" s="20">
        <v>173028.210225462</v>
      </c>
    </row>
    <row r="47">
      <c r="B47" s="19">
        <v>44743.0</v>
      </c>
      <c r="C47" s="20">
        <v>179206.530152797</v>
      </c>
    </row>
    <row r="48">
      <c r="B48" s="19">
        <v>44774.0</v>
      </c>
      <c r="C48" s="20">
        <v>191700.590097427</v>
      </c>
    </row>
    <row r="49">
      <c r="B49" s="19">
        <v>44805.0</v>
      </c>
      <c r="C49" s="20">
        <v>186716.800364732</v>
      </c>
    </row>
    <row r="50">
      <c r="B50" s="21">
        <v>44835.0</v>
      </c>
      <c r="C50" s="20">
        <v>203724.65024209</v>
      </c>
    </row>
    <row r="51">
      <c r="B51" s="21">
        <v>44866.0</v>
      </c>
      <c r="C51" s="20">
        <v>206830.180186986</v>
      </c>
    </row>
    <row r="52">
      <c r="B52" s="21">
        <v>44896.0</v>
      </c>
      <c r="C52" s="20">
        <v>222747.490302581</v>
      </c>
    </row>
    <row r="53">
      <c r="B53" s="19">
        <v>44927.0</v>
      </c>
      <c r="C53" s="20">
        <v>247476.010209083</v>
      </c>
    </row>
    <row r="54">
      <c r="B54" s="19">
        <v>44958.0</v>
      </c>
      <c r="C54" s="20">
        <v>226926.570194959</v>
      </c>
    </row>
    <row r="55">
      <c r="B55" s="19">
        <v>44986.0</v>
      </c>
      <c r="C55" s="20">
        <v>249256.920269131</v>
      </c>
    </row>
    <row r="56">
      <c r="B56" s="19">
        <v>45017.0</v>
      </c>
      <c r="C56" s="20">
        <v>256636.770100593</v>
      </c>
    </row>
    <row r="57">
      <c r="B57" s="19">
        <v>45047.0</v>
      </c>
      <c r="C57" s="20">
        <v>277932.850366115</v>
      </c>
    </row>
    <row r="58">
      <c r="B58" s="19">
        <v>45078.0</v>
      </c>
      <c r="C58" s="20">
        <v>273169.160253524</v>
      </c>
    </row>
    <row r="59">
      <c r="B59" s="19">
        <v>45108.0</v>
      </c>
      <c r="C59" s="20">
        <v>315049.750488996</v>
      </c>
    </row>
    <row r="60">
      <c r="B60" s="19">
        <v>45139.0</v>
      </c>
      <c r="C60" s="20">
        <v>331357.400305032</v>
      </c>
    </row>
    <row r="61">
      <c r="B61" s="19">
        <v>45170.0</v>
      </c>
      <c r="C61" s="20">
        <v>348572.650346536</v>
      </c>
    </row>
    <row r="62">
      <c r="B62" s="21">
        <v>45200.0</v>
      </c>
      <c r="C62" s="20">
        <v>374666.580396413</v>
      </c>
    </row>
    <row r="63">
      <c r="B63" s="21">
        <v>45231.0</v>
      </c>
      <c r="C63" s="20">
        <v>390124.900492906</v>
      </c>
    </row>
    <row r="64">
      <c r="B64" s="21">
        <v>45261.0</v>
      </c>
      <c r="C64" s="20">
        <v>432875.970529694</v>
      </c>
    </row>
    <row r="65">
      <c r="B65" s="19">
        <v>45292.0</v>
      </c>
      <c r="C65" s="20">
        <v>468036.380438465</v>
      </c>
    </row>
    <row r="66">
      <c r="B66" s="19">
        <v>45323.0</v>
      </c>
      <c r="C66" s="20">
        <v>496183.940307755</v>
      </c>
    </row>
    <row r="67">
      <c r="B67" s="19">
        <v>45352.0</v>
      </c>
      <c r="C67" s="20">
        <v>594568.650663614</v>
      </c>
    </row>
    <row r="68">
      <c r="B68" s="19">
        <v>45383.0</v>
      </c>
      <c r="C68" s="20">
        <v>748773.540781617</v>
      </c>
    </row>
    <row r="69">
      <c r="B69" s="19">
        <v>45413.0</v>
      </c>
      <c r="C69" s="20">
        <v>579392.630462646</v>
      </c>
    </row>
  </sheetData>
  <drawing r:id="rId1"/>
</worksheet>
</file>